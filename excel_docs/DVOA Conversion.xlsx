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.collins/Documents/personal-projects/pick-em/excel_docs/"/>
    </mc:Choice>
  </mc:AlternateContent>
  <xr:revisionPtr revIDLastSave="0" documentId="13_ncr:1_{41CB3452-422D-F44A-9AB3-785A8E9EF507}" xr6:coauthVersionLast="47" xr6:coauthVersionMax="47" xr10:uidLastSave="{00000000-0000-0000-0000-000000000000}"/>
  <bookViews>
    <workbookView xWindow="0" yWindow="760" windowWidth="34560" windowHeight="19860" activeTab="2" xr2:uid="{00000000-000D-0000-FFFF-FFFF00000000}"/>
  </bookViews>
  <sheets>
    <sheet name="template" sheetId="2" r:id="rId1"/>
    <sheet name="DVOA_Data" sheetId="4" r:id="rId2"/>
    <sheet name="site info" sheetId="1" r:id="rId3"/>
    <sheet name="team-translation" sheetId="3" r:id="rId4"/>
    <sheet name="website info-step1" sheetId="6" r:id="rId5"/>
    <sheet name="audit" sheetId="5" r:id="rId6"/>
  </sheets>
  <definedNames>
    <definedName name="_xlnm._FilterDatabase" localSheetId="5" hidden="1">audit!$A$1:$C$17</definedName>
    <definedName name="_xlnm._FilterDatabase" localSheetId="4" hidden="1">'website info-step1'!$A$1:$I$32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2" i="4"/>
  <c r="A2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" i="2"/>
  <c r="A3" i="2"/>
  <c r="A4" i="2"/>
  <c r="A5" i="2"/>
  <c r="A6" i="2"/>
  <c r="H6" i="2" s="1"/>
  <c r="A7" i="2"/>
  <c r="A8" i="2"/>
  <c r="A9" i="2"/>
  <c r="A10" i="2"/>
  <c r="A11" i="2"/>
  <c r="A12" i="2"/>
  <c r="A13" i="2"/>
  <c r="A14" i="2"/>
  <c r="A15" i="2"/>
  <c r="A16" i="2"/>
  <c r="H16" i="2" s="1"/>
  <c r="A17" i="2"/>
  <c r="A18" i="2"/>
  <c r="A19" i="2"/>
  <c r="A20" i="2"/>
  <c r="A21" i="2"/>
  <c r="A22" i="2"/>
  <c r="A23" i="2"/>
  <c r="A24" i="2"/>
  <c r="H10" i="2" l="1"/>
  <c r="H27" i="2"/>
  <c r="H18" i="2"/>
  <c r="H8" i="2"/>
  <c r="H30" i="2"/>
  <c r="H25" i="2"/>
  <c r="H29" i="2"/>
  <c r="H28" i="2"/>
  <c r="H32" i="2"/>
  <c r="H14" i="2"/>
  <c r="H31" i="2"/>
  <c r="H26" i="2"/>
  <c r="H24" i="2"/>
  <c r="H4" i="2"/>
  <c r="H33" i="2"/>
  <c r="H19" i="2"/>
  <c r="H7" i="2"/>
  <c r="H9" i="2"/>
  <c r="H22" i="2"/>
  <c r="H12" i="2"/>
  <c r="H20" i="2"/>
  <c r="H17" i="2"/>
  <c r="H2" i="2"/>
  <c r="H15" i="2"/>
  <c r="H5" i="2"/>
  <c r="H23" i="2"/>
  <c r="H13" i="2"/>
  <c r="H3" i="2"/>
  <c r="H21" i="2"/>
  <c r="H11" i="2"/>
</calcChain>
</file>

<file path=xl/sharedStrings.xml><?xml version="1.0" encoding="utf-8"?>
<sst xmlns="http://schemas.openxmlformats.org/spreadsheetml/2006/main" count="250" uniqueCount="74">
  <si>
    <t>Team</t>
  </si>
  <si>
    <t>Total DVOA Rank</t>
  </si>
  <si>
    <t>PHI</t>
  </si>
  <si>
    <t>BUF</t>
  </si>
  <si>
    <t>SF</t>
  </si>
  <si>
    <t>DAL</t>
  </si>
  <si>
    <t>BAL</t>
  </si>
  <si>
    <t>CIN</t>
  </si>
  <si>
    <t>KC</t>
  </si>
  <si>
    <t>MIA</t>
  </si>
  <si>
    <t>NYJ</t>
  </si>
  <si>
    <t>SEA</t>
  </si>
  <si>
    <t>DET</t>
  </si>
  <si>
    <t>NE</t>
  </si>
  <si>
    <t>TB</t>
  </si>
  <si>
    <t>CLE</t>
  </si>
  <si>
    <t>GB</t>
  </si>
  <si>
    <t>ATL</t>
  </si>
  <si>
    <t>WAS</t>
  </si>
  <si>
    <t>PIT</t>
  </si>
  <si>
    <t>TEN</t>
  </si>
  <si>
    <t>MIN</t>
  </si>
  <si>
    <t>NO</t>
  </si>
  <si>
    <t>DEN</t>
  </si>
  <si>
    <t>NYG</t>
  </si>
  <si>
    <t>LV</t>
  </si>
  <si>
    <t>LAC</t>
  </si>
  <si>
    <t>CAR</t>
  </si>
  <si>
    <t>CHI</t>
  </si>
  <si>
    <t>ARI</t>
  </si>
  <si>
    <t>IND</t>
  </si>
  <si>
    <t>HOU</t>
  </si>
  <si>
    <t>eagles</t>
  </si>
  <si>
    <t>bills</t>
  </si>
  <si>
    <t>9ers</t>
  </si>
  <si>
    <t>boys</t>
  </si>
  <si>
    <t>ravens</t>
  </si>
  <si>
    <t>bengals</t>
  </si>
  <si>
    <t>chiefs</t>
  </si>
  <si>
    <t>fins</t>
  </si>
  <si>
    <t>jets</t>
  </si>
  <si>
    <t>hawks</t>
  </si>
  <si>
    <t>lions</t>
  </si>
  <si>
    <t>pats</t>
  </si>
  <si>
    <t>bucs</t>
  </si>
  <si>
    <t>browns</t>
  </si>
  <si>
    <t>pack</t>
  </si>
  <si>
    <t>falcons</t>
  </si>
  <si>
    <t>wash</t>
  </si>
  <si>
    <t>jags</t>
  </si>
  <si>
    <t>steelers</t>
  </si>
  <si>
    <t>titans</t>
  </si>
  <si>
    <t>vikings</t>
  </si>
  <si>
    <t>saints</t>
  </si>
  <si>
    <t>broncos</t>
  </si>
  <si>
    <t>giants</t>
  </si>
  <si>
    <t>raiders</t>
  </si>
  <si>
    <t>chargers</t>
  </si>
  <si>
    <t>rams</t>
  </si>
  <si>
    <t>panthers</t>
  </si>
  <si>
    <t>bears</t>
  </si>
  <si>
    <t>cards</t>
  </si>
  <si>
    <t>colts</t>
  </si>
  <si>
    <t>texans</t>
  </si>
  <si>
    <t>,</t>
  </si>
  <si>
    <t>"</t>
  </si>
  <si>
    <t>":</t>
  </si>
  <si>
    <t>team</t>
  </si>
  <si>
    <t>rank</t>
  </si>
  <si>
    <t>name</t>
  </si>
  <si>
    <t>spread</t>
  </si>
  <si>
    <t>JAX</t>
  </si>
  <si>
    <t>LAR</t>
  </si>
  <si>
    <t>need to input this into "site info" tab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</si>
</sst>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4"/>
      <name val="Arial"/>
      <family val="2"/>
    </font>
    <font>
      <sz val="1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34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21" fillId="0" borderId="0" xfId="0" applyFont="1"/>
    <xf numFmtId="0" fontId="22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33"/>
  <sheetViews>
    <sheetView workbookViewId="0">
      <selection activeCell="A2" sqref="A2"/>
    </sheetView>
  </sheetViews>
  <sheetFormatPr baseColWidth="10" defaultRowHeight="16" x14ac:dyDescent="0.2"/>
  <cols>
    <col min="1" max="2" width="10.83203125" style="3"/>
    <col min="3" max="3" width="3.83203125" style="1" customWidth="1"/>
    <col min="7" max="7" width="3.83203125" style="1" customWidth="1"/>
    <col min="8" max="8" width="18.33203125" style="3" customWidth="1"/>
  </cols>
  <sheetData>
    <row r="1" spans="1:8" x14ac:dyDescent="0.2">
      <c r="A1" s="4" t="s">
        <v>67</v>
      </c>
      <c r="B1" s="4" t="s">
        <v>68</v>
      </c>
    </row>
    <row r="2" spans="1:8" x14ac:dyDescent="0.2">
      <c r="A2" s="3" t="str">
        <f>VLOOKUP('site info'!A2,'team-translation'!A:B,2,0)</f>
        <v>hawks</v>
      </c>
      <c r="B2" s="3">
        <f>'site info'!B2</f>
        <v>1</v>
      </c>
      <c r="D2" t="s">
        <v>65</v>
      </c>
      <c r="E2" t="s">
        <v>66</v>
      </c>
      <c r="F2" t="s">
        <v>64</v>
      </c>
      <c r="H2" s="2" t="str">
        <f t="shared" ref="H2:H33" si="0">D2&amp;A2&amp;E2&amp;B2&amp;F2</f>
        <v>"hawks":1,</v>
      </c>
    </row>
    <row r="3" spans="1:8" x14ac:dyDescent="0.2">
      <c r="A3" s="3" t="str">
        <f>VLOOKUP('site info'!A3,'team-translation'!A:B,2,0)</f>
        <v>rams</v>
      </c>
      <c r="B3" s="3">
        <f>'site info'!B3</f>
        <v>2</v>
      </c>
      <c r="D3" t="s">
        <v>65</v>
      </c>
      <c r="E3" t="s">
        <v>66</v>
      </c>
      <c r="F3" t="s">
        <v>64</v>
      </c>
      <c r="H3" s="2" t="str">
        <f t="shared" si="0"/>
        <v>"rams":2,</v>
      </c>
    </row>
    <row r="4" spans="1:8" x14ac:dyDescent="0.2">
      <c r="A4" s="3" t="str">
        <f>VLOOKUP('site info'!A4,'team-translation'!A:B,2,0)</f>
        <v>lions</v>
      </c>
      <c r="B4" s="3">
        <f>'site info'!B4</f>
        <v>3</v>
      </c>
      <c r="D4" t="s">
        <v>65</v>
      </c>
      <c r="E4" t="s">
        <v>66</v>
      </c>
      <c r="F4" t="s">
        <v>64</v>
      </c>
      <c r="H4" s="2" t="str">
        <f t="shared" si="0"/>
        <v>"lions":3,</v>
      </c>
    </row>
    <row r="5" spans="1:8" x14ac:dyDescent="0.2">
      <c r="A5" s="3" t="str">
        <f>VLOOKUP('site info'!A5,'team-translation'!A:B,2,0)</f>
        <v>colts</v>
      </c>
      <c r="B5" s="3">
        <f>'site info'!B5</f>
        <v>4</v>
      </c>
      <c r="D5" t="s">
        <v>65</v>
      </c>
      <c r="E5" t="s">
        <v>66</v>
      </c>
      <c r="F5" t="s">
        <v>64</v>
      </c>
      <c r="H5" s="2" t="str">
        <f t="shared" si="0"/>
        <v>"colts":4,</v>
      </c>
    </row>
    <row r="6" spans="1:8" x14ac:dyDescent="0.2">
      <c r="A6" s="3" t="str">
        <f>VLOOKUP('site info'!A6,'team-translation'!A:B,2,0)</f>
        <v>pack</v>
      </c>
      <c r="B6" s="3">
        <f>'site info'!B6</f>
        <v>5</v>
      </c>
      <c r="D6" t="s">
        <v>65</v>
      </c>
      <c r="E6" t="s">
        <v>66</v>
      </c>
      <c r="F6" t="s">
        <v>64</v>
      </c>
      <c r="H6" s="2" t="str">
        <f t="shared" si="0"/>
        <v>"pack":5,</v>
      </c>
    </row>
    <row r="7" spans="1:8" x14ac:dyDescent="0.2">
      <c r="A7" s="3" t="str">
        <f>VLOOKUP('site info'!A7,'team-translation'!A:B,2,0)</f>
        <v>chiefs</v>
      </c>
      <c r="B7" s="3">
        <f>'site info'!B7</f>
        <v>6</v>
      </c>
      <c r="D7" t="s">
        <v>65</v>
      </c>
      <c r="E7" t="s">
        <v>66</v>
      </c>
      <c r="F7" t="s">
        <v>64</v>
      </c>
      <c r="H7" s="2" t="str">
        <f t="shared" si="0"/>
        <v>"chiefs":6,</v>
      </c>
    </row>
    <row r="8" spans="1:8" x14ac:dyDescent="0.2">
      <c r="A8" s="3" t="str">
        <f>VLOOKUP('site info'!A8,'team-translation'!A:B,2,0)</f>
        <v>texans</v>
      </c>
      <c r="B8" s="3">
        <f>'site info'!B8</f>
        <v>7</v>
      </c>
      <c r="D8" t="s">
        <v>65</v>
      </c>
      <c r="E8" t="s">
        <v>66</v>
      </c>
      <c r="F8" t="s">
        <v>64</v>
      </c>
      <c r="H8" s="2" t="str">
        <f t="shared" si="0"/>
        <v>"texans":7,</v>
      </c>
    </row>
    <row r="9" spans="1:8" x14ac:dyDescent="0.2">
      <c r="A9" s="3" t="str">
        <f>VLOOKUP('site info'!A9,'team-translation'!A:B,2,0)</f>
        <v>broncos</v>
      </c>
      <c r="B9" s="3">
        <f>'site info'!B9</f>
        <v>8</v>
      </c>
      <c r="D9" t="s">
        <v>65</v>
      </c>
      <c r="E9" t="s">
        <v>66</v>
      </c>
      <c r="F9" t="s">
        <v>64</v>
      </c>
      <c r="H9" s="2" t="str">
        <f t="shared" si="0"/>
        <v>"broncos":8,</v>
      </c>
    </row>
    <row r="10" spans="1:8" x14ac:dyDescent="0.2">
      <c r="A10" s="3" t="str">
        <f>VLOOKUP('site info'!A10,'team-translation'!A:B,2,0)</f>
        <v>jags</v>
      </c>
      <c r="B10" s="3">
        <f>'site info'!B10</f>
        <v>9</v>
      </c>
      <c r="D10" t="s">
        <v>65</v>
      </c>
      <c r="E10" t="s">
        <v>66</v>
      </c>
      <c r="F10" t="s">
        <v>64</v>
      </c>
      <c r="H10" s="2" t="str">
        <f t="shared" si="0"/>
        <v>"jags":9,</v>
      </c>
    </row>
    <row r="11" spans="1:8" x14ac:dyDescent="0.2">
      <c r="A11" s="3" t="str">
        <f>VLOOKUP('site info'!A11,'team-translation'!A:B,2,0)</f>
        <v>bills</v>
      </c>
      <c r="B11" s="3">
        <f>'site info'!B11</f>
        <v>10</v>
      </c>
      <c r="D11" t="s">
        <v>65</v>
      </c>
      <c r="E11" t="s">
        <v>66</v>
      </c>
      <c r="F11" t="s">
        <v>64</v>
      </c>
      <c r="H11" s="2" t="str">
        <f t="shared" si="0"/>
        <v>"bills":10,</v>
      </c>
    </row>
    <row r="12" spans="1:8" x14ac:dyDescent="0.2">
      <c r="A12" s="3" t="str">
        <f>VLOOKUP('site info'!A12,'team-translation'!A:B,2,0)</f>
        <v>9ers</v>
      </c>
      <c r="B12" s="3">
        <f>'site info'!B12</f>
        <v>11</v>
      </c>
      <c r="D12" t="s">
        <v>65</v>
      </c>
      <c r="E12" t="s">
        <v>66</v>
      </c>
      <c r="F12" t="s">
        <v>64</v>
      </c>
      <c r="H12" s="2" t="str">
        <f t="shared" si="0"/>
        <v>"9ers":11,</v>
      </c>
    </row>
    <row r="13" spans="1:8" x14ac:dyDescent="0.2">
      <c r="A13" s="3" t="str">
        <f>VLOOKUP('site info'!A13,'team-translation'!A:B,2,0)</f>
        <v>eagles</v>
      </c>
      <c r="B13" s="3">
        <f>'site info'!B13</f>
        <v>12</v>
      </c>
      <c r="D13" t="s">
        <v>65</v>
      </c>
      <c r="E13" t="s">
        <v>66</v>
      </c>
      <c r="F13" t="s">
        <v>64</v>
      </c>
      <c r="H13" s="2" t="str">
        <f t="shared" si="0"/>
        <v>"eagles":12,</v>
      </c>
    </row>
    <row r="14" spans="1:8" x14ac:dyDescent="0.2">
      <c r="A14" s="3" t="str">
        <f>VLOOKUP('site info'!A14,'team-translation'!A:B,2,0)</f>
        <v>steelers</v>
      </c>
      <c r="B14" s="3">
        <f>'site info'!B14</f>
        <v>13</v>
      </c>
      <c r="D14" t="s">
        <v>65</v>
      </c>
      <c r="E14" t="s">
        <v>66</v>
      </c>
      <c r="F14" t="s">
        <v>64</v>
      </c>
      <c r="H14" s="2" t="str">
        <f t="shared" si="0"/>
        <v>"steelers":13,</v>
      </c>
    </row>
    <row r="15" spans="1:8" x14ac:dyDescent="0.2">
      <c r="A15" s="3" t="str">
        <f>VLOOKUP('site info'!A15,'team-translation'!A:B,2,0)</f>
        <v>pats</v>
      </c>
      <c r="B15" s="3">
        <f>'site info'!B15</f>
        <v>14</v>
      </c>
      <c r="D15" t="s">
        <v>65</v>
      </c>
      <c r="E15" t="s">
        <v>66</v>
      </c>
      <c r="F15" t="s">
        <v>64</v>
      </c>
      <c r="H15" s="2" t="str">
        <f t="shared" si="0"/>
        <v>"pats":14,</v>
      </c>
    </row>
    <row r="16" spans="1:8" x14ac:dyDescent="0.2">
      <c r="A16" s="3" t="str">
        <f>VLOOKUP('site info'!A16,'team-translation'!A:B,2,0)</f>
        <v>chargers</v>
      </c>
      <c r="B16" s="3">
        <f>'site info'!B16</f>
        <v>15</v>
      </c>
      <c r="D16" t="s">
        <v>65</v>
      </c>
      <c r="E16" t="s">
        <v>66</v>
      </c>
      <c r="F16" t="s">
        <v>64</v>
      </c>
      <c r="H16" s="2" t="str">
        <f t="shared" si="0"/>
        <v>"chargers":15,</v>
      </c>
    </row>
    <row r="17" spans="1:8" x14ac:dyDescent="0.2">
      <c r="A17" s="3" t="str">
        <f>VLOOKUP('site info'!A17,'team-translation'!A:B,2,0)</f>
        <v>ravens</v>
      </c>
      <c r="B17" s="3">
        <f>'site info'!B17</f>
        <v>16</v>
      </c>
      <c r="D17" t="s">
        <v>65</v>
      </c>
      <c r="E17" t="s">
        <v>66</v>
      </c>
      <c r="F17" t="s">
        <v>64</v>
      </c>
      <c r="H17" s="2" t="str">
        <f t="shared" si="0"/>
        <v>"ravens":16,</v>
      </c>
    </row>
    <row r="18" spans="1:8" x14ac:dyDescent="0.2">
      <c r="A18" s="3" t="str">
        <f>VLOOKUP('site info'!A18,'team-translation'!A:B,2,0)</f>
        <v>bucs</v>
      </c>
      <c r="B18" s="3">
        <f>'site info'!B18</f>
        <v>17</v>
      </c>
      <c r="D18" t="s">
        <v>65</v>
      </c>
      <c r="E18" t="s">
        <v>66</v>
      </c>
      <c r="F18" t="s">
        <v>64</v>
      </c>
      <c r="H18" s="2" t="str">
        <f t="shared" si="0"/>
        <v>"bucs":17,</v>
      </c>
    </row>
    <row r="19" spans="1:8" x14ac:dyDescent="0.2">
      <c r="A19" s="3" t="str">
        <f>VLOOKUP('site info'!A19,'team-translation'!A:B,2,0)</f>
        <v>fins</v>
      </c>
      <c r="B19" s="3">
        <f>'site info'!B19</f>
        <v>18</v>
      </c>
      <c r="D19" t="s">
        <v>65</v>
      </c>
      <c r="E19" t="s">
        <v>66</v>
      </c>
      <c r="F19" t="s">
        <v>64</v>
      </c>
      <c r="H19" s="2" t="str">
        <f t="shared" si="0"/>
        <v>"fins":18,</v>
      </c>
    </row>
    <row r="20" spans="1:8" x14ac:dyDescent="0.2">
      <c r="A20" s="3" t="str">
        <f>VLOOKUP('site info'!A20,'team-translation'!A:B,2,0)</f>
        <v>boys</v>
      </c>
      <c r="B20" s="3">
        <f>'site info'!B20</f>
        <v>19</v>
      </c>
      <c r="D20" t="s">
        <v>65</v>
      </c>
      <c r="E20" t="s">
        <v>66</v>
      </c>
      <c r="F20" t="s">
        <v>64</v>
      </c>
      <c r="H20" s="2" t="str">
        <f t="shared" si="0"/>
        <v>"boys":19,</v>
      </c>
    </row>
    <row r="21" spans="1:8" x14ac:dyDescent="0.2">
      <c r="A21" s="3" t="str">
        <f>VLOOKUP('site info'!A21,'team-translation'!A:B,2,0)</f>
        <v>bears</v>
      </c>
      <c r="B21" s="3">
        <f>'site info'!B21</f>
        <v>20</v>
      </c>
      <c r="D21" t="s">
        <v>65</v>
      </c>
      <c r="E21" t="s">
        <v>66</v>
      </c>
      <c r="F21" t="s">
        <v>64</v>
      </c>
      <c r="H21" s="2" t="str">
        <f t="shared" si="0"/>
        <v>"bears":20,</v>
      </c>
    </row>
    <row r="22" spans="1:8" x14ac:dyDescent="0.2">
      <c r="A22" s="3" t="str">
        <f>VLOOKUP('site info'!A22,'team-translation'!A:B,2,0)</f>
        <v>falcons</v>
      </c>
      <c r="B22" s="3">
        <f>'site info'!B22</f>
        <v>21</v>
      </c>
      <c r="D22" t="s">
        <v>65</v>
      </c>
      <c r="E22" t="s">
        <v>66</v>
      </c>
      <c r="F22" t="s">
        <v>64</v>
      </c>
      <c r="H22" s="2" t="str">
        <f t="shared" si="0"/>
        <v>"falcons":21,</v>
      </c>
    </row>
    <row r="23" spans="1:8" x14ac:dyDescent="0.2">
      <c r="A23" s="3" t="str">
        <f>VLOOKUP('site info'!A23,'team-translation'!A:B,2,0)</f>
        <v>cards</v>
      </c>
      <c r="B23" s="3">
        <f>'site info'!B23</f>
        <v>21</v>
      </c>
      <c r="D23" t="s">
        <v>65</v>
      </c>
      <c r="E23" t="s">
        <v>66</v>
      </c>
      <c r="F23" t="s">
        <v>64</v>
      </c>
      <c r="H23" s="2" t="str">
        <f t="shared" si="0"/>
        <v>"cards":21,</v>
      </c>
    </row>
    <row r="24" spans="1:8" x14ac:dyDescent="0.2">
      <c r="A24" s="3" t="str">
        <f>VLOOKUP('site info'!A24,'team-translation'!A:B,2,0)</f>
        <v>vikings</v>
      </c>
      <c r="B24" s="3">
        <f>'site info'!B24</f>
        <v>23</v>
      </c>
      <c r="D24" t="s">
        <v>65</v>
      </c>
      <c r="E24" t="s">
        <v>66</v>
      </c>
      <c r="F24" t="s">
        <v>64</v>
      </c>
      <c r="H24" s="2" t="str">
        <f t="shared" si="0"/>
        <v>"vikings":23,</v>
      </c>
    </row>
    <row r="25" spans="1:8" x14ac:dyDescent="0.2">
      <c r="A25" s="3" t="str">
        <f>VLOOKUP('site info'!A25,'team-translation'!A:B,2,0)</f>
        <v>wash</v>
      </c>
      <c r="B25" s="3">
        <f>'site info'!B25</f>
        <v>24</v>
      </c>
      <c r="D25" t="s">
        <v>65</v>
      </c>
      <c r="E25" t="s">
        <v>66</v>
      </c>
      <c r="F25" t="s">
        <v>64</v>
      </c>
      <c r="H25" s="2" t="str">
        <f t="shared" si="0"/>
        <v>"wash":24,</v>
      </c>
    </row>
    <row r="26" spans="1:8" x14ac:dyDescent="0.2">
      <c r="A26" s="3" t="str">
        <f>VLOOKUP('site info'!A26,'team-translation'!A:B,2,0)</f>
        <v>panthers</v>
      </c>
      <c r="B26" s="3">
        <f>'site info'!B26</f>
        <v>25</v>
      </c>
      <c r="D26" t="s">
        <v>65</v>
      </c>
      <c r="E26" t="s">
        <v>66</v>
      </c>
      <c r="F26" t="s">
        <v>64</v>
      </c>
      <c r="H26" s="2" t="str">
        <f t="shared" si="0"/>
        <v>"panthers":25,</v>
      </c>
    </row>
    <row r="27" spans="1:8" x14ac:dyDescent="0.2">
      <c r="A27" s="3" t="str">
        <f>VLOOKUP('site info'!A27,'team-translation'!A:B,2,0)</f>
        <v>giants</v>
      </c>
      <c r="B27" s="3">
        <f>'site info'!B27</f>
        <v>26</v>
      </c>
      <c r="D27" t="s">
        <v>65</v>
      </c>
      <c r="E27" t="s">
        <v>66</v>
      </c>
      <c r="F27" t="s">
        <v>64</v>
      </c>
      <c r="H27" s="2" t="str">
        <f t="shared" si="0"/>
        <v>"giants":26,</v>
      </c>
    </row>
    <row r="28" spans="1:8" x14ac:dyDescent="0.2">
      <c r="A28" s="3" t="str">
        <f>VLOOKUP('site info'!A28,'team-translation'!A:B,2,0)</f>
        <v>bengals</v>
      </c>
      <c r="B28" s="3">
        <f>'site info'!B28</f>
        <v>27</v>
      </c>
      <c r="D28" t="s">
        <v>65</v>
      </c>
      <c r="E28" t="s">
        <v>66</v>
      </c>
      <c r="F28" t="s">
        <v>64</v>
      </c>
      <c r="H28" s="2" t="str">
        <f t="shared" si="0"/>
        <v>"bengals":27,</v>
      </c>
    </row>
    <row r="29" spans="1:8" x14ac:dyDescent="0.2">
      <c r="A29" s="3" t="str">
        <f>VLOOKUP('site info'!A29,'team-translation'!A:B,2,0)</f>
        <v>jets</v>
      </c>
      <c r="B29" s="3">
        <f>'site info'!B29</f>
        <v>28</v>
      </c>
      <c r="D29" t="s">
        <v>65</v>
      </c>
      <c r="E29" t="s">
        <v>66</v>
      </c>
      <c r="F29" t="s">
        <v>64</v>
      </c>
      <c r="H29" s="2" t="str">
        <f t="shared" si="0"/>
        <v>"jets":28,</v>
      </c>
    </row>
    <row r="30" spans="1:8" x14ac:dyDescent="0.2">
      <c r="A30" s="3" t="str">
        <f>VLOOKUP('site info'!A30,'team-translation'!A:B,2,0)</f>
        <v>saints</v>
      </c>
      <c r="B30" s="3">
        <f>'site info'!B30</f>
        <v>29</v>
      </c>
      <c r="D30" t="s">
        <v>65</v>
      </c>
      <c r="E30" t="s">
        <v>66</v>
      </c>
      <c r="F30" t="s">
        <v>64</v>
      </c>
      <c r="H30" s="2" t="str">
        <f t="shared" si="0"/>
        <v>"saints":29,</v>
      </c>
    </row>
    <row r="31" spans="1:8" x14ac:dyDescent="0.2">
      <c r="A31" s="3" t="str">
        <f>VLOOKUP('site info'!A31,'team-translation'!A:B,2,0)</f>
        <v>browns</v>
      </c>
      <c r="B31" s="3">
        <f>'site info'!B31</f>
        <v>30</v>
      </c>
      <c r="D31" t="s">
        <v>65</v>
      </c>
      <c r="E31" t="s">
        <v>66</v>
      </c>
      <c r="F31" t="s">
        <v>64</v>
      </c>
      <c r="H31" s="2" t="str">
        <f t="shared" si="0"/>
        <v>"browns":30,</v>
      </c>
    </row>
    <row r="32" spans="1:8" x14ac:dyDescent="0.2">
      <c r="A32" s="3" t="str">
        <f>VLOOKUP('site info'!A32,'team-translation'!A:B,2,0)</f>
        <v>raiders</v>
      </c>
      <c r="B32" s="3">
        <f>'site info'!B32</f>
        <v>31</v>
      </c>
      <c r="D32" t="s">
        <v>65</v>
      </c>
      <c r="E32" t="s">
        <v>66</v>
      </c>
      <c r="F32" t="s">
        <v>64</v>
      </c>
      <c r="H32" s="2" t="str">
        <f t="shared" si="0"/>
        <v>"raiders":31,</v>
      </c>
    </row>
    <row r="33" spans="1:8" x14ac:dyDescent="0.2">
      <c r="A33" s="3" t="str">
        <f>VLOOKUP('site info'!A33,'team-translation'!A:B,2,0)</f>
        <v>titans</v>
      </c>
      <c r="B33" s="3">
        <f>'site info'!B33</f>
        <v>32</v>
      </c>
      <c r="D33" t="s">
        <v>65</v>
      </c>
      <c r="E33" t="s">
        <v>66</v>
      </c>
      <c r="F33" t="s">
        <v>64</v>
      </c>
      <c r="H33" s="2" t="str">
        <f t="shared" si="0"/>
        <v>"titans":32,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1EF2-CB36-7445-A86C-DD3EA65C71DE}">
  <dimension ref="A1:B33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s="5" t="s">
        <v>69</v>
      </c>
      <c r="B1" s="5" t="s">
        <v>68</v>
      </c>
    </row>
    <row r="2" spans="1:2" x14ac:dyDescent="0.2">
      <c r="A2" s="6" t="str">
        <f>VLOOKUP('site info'!A2,'team-translation'!A:B,2,0)</f>
        <v>hawks</v>
      </c>
      <c r="B2" s="6">
        <v>1</v>
      </c>
    </row>
    <row r="3" spans="1:2" x14ac:dyDescent="0.2">
      <c r="A3" s="6" t="str">
        <f>VLOOKUP('site info'!A3,'team-translation'!A:B,2,0)</f>
        <v>rams</v>
      </c>
      <c r="B3" s="6">
        <v>2</v>
      </c>
    </row>
    <row r="4" spans="1:2" x14ac:dyDescent="0.2">
      <c r="A4" s="6" t="str">
        <f>VLOOKUP('site info'!A4,'team-translation'!A:B,2,0)</f>
        <v>lions</v>
      </c>
      <c r="B4" s="6">
        <v>3</v>
      </c>
    </row>
    <row r="5" spans="1:2" x14ac:dyDescent="0.2">
      <c r="A5" s="6" t="str">
        <f>VLOOKUP('site info'!A5,'team-translation'!A:B,2,0)</f>
        <v>colts</v>
      </c>
      <c r="B5" s="6">
        <v>4</v>
      </c>
    </row>
    <row r="6" spans="1:2" x14ac:dyDescent="0.2">
      <c r="A6" s="6" t="str">
        <f>VLOOKUP('site info'!A6,'team-translation'!A:B,2,0)</f>
        <v>pack</v>
      </c>
      <c r="B6" s="6">
        <v>5</v>
      </c>
    </row>
    <row r="7" spans="1:2" x14ac:dyDescent="0.2">
      <c r="A7" s="6" t="str">
        <f>VLOOKUP('site info'!A7,'team-translation'!A:B,2,0)</f>
        <v>chiefs</v>
      </c>
      <c r="B7" s="6">
        <v>6</v>
      </c>
    </row>
    <row r="8" spans="1:2" x14ac:dyDescent="0.2">
      <c r="A8" s="6" t="str">
        <f>VLOOKUP('site info'!A8,'team-translation'!A:B,2,0)</f>
        <v>texans</v>
      </c>
      <c r="B8" s="6">
        <v>7</v>
      </c>
    </row>
    <row r="9" spans="1:2" x14ac:dyDescent="0.2">
      <c r="A9" s="6" t="str">
        <f>VLOOKUP('site info'!A9,'team-translation'!A:B,2,0)</f>
        <v>broncos</v>
      </c>
      <c r="B9" s="6">
        <v>8</v>
      </c>
    </row>
    <row r="10" spans="1:2" x14ac:dyDescent="0.2">
      <c r="A10" s="6" t="str">
        <f>VLOOKUP('site info'!A10,'team-translation'!A:B,2,0)</f>
        <v>jags</v>
      </c>
      <c r="B10" s="6">
        <v>9</v>
      </c>
    </row>
    <row r="11" spans="1:2" x14ac:dyDescent="0.2">
      <c r="A11" s="6" t="str">
        <f>VLOOKUP('site info'!A11,'team-translation'!A:B,2,0)</f>
        <v>bills</v>
      </c>
      <c r="B11" s="6">
        <v>10</v>
      </c>
    </row>
    <row r="12" spans="1:2" x14ac:dyDescent="0.2">
      <c r="A12" s="6" t="str">
        <f>VLOOKUP('site info'!A12,'team-translation'!A:B,2,0)</f>
        <v>9ers</v>
      </c>
      <c r="B12" s="6">
        <v>11</v>
      </c>
    </row>
    <row r="13" spans="1:2" x14ac:dyDescent="0.2">
      <c r="A13" s="6" t="str">
        <f>VLOOKUP('site info'!A13,'team-translation'!A:B,2,0)</f>
        <v>eagles</v>
      </c>
      <c r="B13" s="6">
        <v>12</v>
      </c>
    </row>
    <row r="14" spans="1:2" x14ac:dyDescent="0.2">
      <c r="A14" s="6" t="str">
        <f>VLOOKUP('site info'!A14,'team-translation'!A:B,2,0)</f>
        <v>steelers</v>
      </c>
      <c r="B14" s="6">
        <v>13</v>
      </c>
    </row>
    <row r="15" spans="1:2" x14ac:dyDescent="0.2">
      <c r="A15" s="6" t="str">
        <f>VLOOKUP('site info'!A15,'team-translation'!A:B,2,0)</f>
        <v>pats</v>
      </c>
      <c r="B15" s="6">
        <v>14</v>
      </c>
    </row>
    <row r="16" spans="1:2" x14ac:dyDescent="0.2">
      <c r="A16" s="6" t="str">
        <f>VLOOKUP('site info'!A16,'team-translation'!A:B,2,0)</f>
        <v>chargers</v>
      </c>
      <c r="B16" s="6">
        <v>15</v>
      </c>
    </row>
    <row r="17" spans="1:2" x14ac:dyDescent="0.2">
      <c r="A17" s="6" t="str">
        <f>VLOOKUP('site info'!A17,'team-translation'!A:B,2,0)</f>
        <v>ravens</v>
      </c>
      <c r="B17" s="6">
        <v>16</v>
      </c>
    </row>
    <row r="18" spans="1:2" x14ac:dyDescent="0.2">
      <c r="A18" s="6" t="str">
        <f>VLOOKUP('site info'!A18,'team-translation'!A:B,2,0)</f>
        <v>bucs</v>
      </c>
      <c r="B18" s="6">
        <v>17</v>
      </c>
    </row>
    <row r="19" spans="1:2" x14ac:dyDescent="0.2">
      <c r="A19" s="6" t="str">
        <f>VLOOKUP('site info'!A19,'team-translation'!A:B,2,0)</f>
        <v>fins</v>
      </c>
      <c r="B19" s="6">
        <v>18</v>
      </c>
    </row>
    <row r="20" spans="1:2" x14ac:dyDescent="0.2">
      <c r="A20" s="6" t="str">
        <f>VLOOKUP('site info'!A20,'team-translation'!A:B,2,0)</f>
        <v>boys</v>
      </c>
      <c r="B20" s="6">
        <v>19</v>
      </c>
    </row>
    <row r="21" spans="1:2" x14ac:dyDescent="0.2">
      <c r="A21" s="6" t="str">
        <f>VLOOKUP('site info'!A21,'team-translation'!A:B,2,0)</f>
        <v>bears</v>
      </c>
      <c r="B21" s="6">
        <v>20</v>
      </c>
    </row>
    <row r="22" spans="1:2" x14ac:dyDescent="0.2">
      <c r="A22" s="6" t="str">
        <f>VLOOKUP('site info'!A22,'team-translation'!A:B,2,0)</f>
        <v>falcons</v>
      </c>
      <c r="B22" s="6">
        <v>21</v>
      </c>
    </row>
    <row r="23" spans="1:2" x14ac:dyDescent="0.2">
      <c r="A23" s="6" t="str">
        <f>VLOOKUP('site info'!A23,'team-translation'!A:B,2,0)</f>
        <v>cards</v>
      </c>
      <c r="B23" s="6">
        <v>22</v>
      </c>
    </row>
    <row r="24" spans="1:2" x14ac:dyDescent="0.2">
      <c r="A24" s="6" t="str">
        <f>VLOOKUP('site info'!A24,'team-translation'!A:B,2,0)</f>
        <v>vikings</v>
      </c>
      <c r="B24" s="6">
        <v>23</v>
      </c>
    </row>
    <row r="25" spans="1:2" x14ac:dyDescent="0.2">
      <c r="A25" s="6" t="str">
        <f>VLOOKUP('site info'!A25,'team-translation'!A:B,2,0)</f>
        <v>wash</v>
      </c>
      <c r="B25" s="6">
        <v>24</v>
      </c>
    </row>
    <row r="26" spans="1:2" x14ac:dyDescent="0.2">
      <c r="A26" s="6" t="str">
        <f>VLOOKUP('site info'!A26,'team-translation'!A:B,2,0)</f>
        <v>panthers</v>
      </c>
      <c r="B26" s="6">
        <v>25</v>
      </c>
    </row>
    <row r="27" spans="1:2" x14ac:dyDescent="0.2">
      <c r="A27" s="6" t="str">
        <f>VLOOKUP('site info'!A27,'team-translation'!A:B,2,0)</f>
        <v>giants</v>
      </c>
      <c r="B27" s="6">
        <v>26</v>
      </c>
    </row>
    <row r="28" spans="1:2" x14ac:dyDescent="0.2">
      <c r="A28" s="6" t="str">
        <f>VLOOKUP('site info'!A28,'team-translation'!A:B,2,0)</f>
        <v>bengals</v>
      </c>
      <c r="B28" s="6">
        <v>27</v>
      </c>
    </row>
    <row r="29" spans="1:2" x14ac:dyDescent="0.2">
      <c r="A29" s="6" t="str">
        <f>VLOOKUP('site info'!A29,'team-translation'!A:B,2,0)</f>
        <v>jets</v>
      </c>
      <c r="B29" s="6">
        <v>28</v>
      </c>
    </row>
    <row r="30" spans="1:2" x14ac:dyDescent="0.2">
      <c r="A30" s="6" t="str">
        <f>VLOOKUP('site info'!A30,'team-translation'!A:B,2,0)</f>
        <v>saints</v>
      </c>
      <c r="B30" s="6">
        <v>29</v>
      </c>
    </row>
    <row r="31" spans="1:2" x14ac:dyDescent="0.2">
      <c r="A31" s="6" t="str">
        <f>VLOOKUP('site info'!A31,'team-translation'!A:B,2,0)</f>
        <v>browns</v>
      </c>
      <c r="B31" s="6">
        <v>30</v>
      </c>
    </row>
    <row r="32" spans="1:2" x14ac:dyDescent="0.2">
      <c r="A32" s="6" t="str">
        <f>VLOOKUP('site info'!A32,'team-translation'!A:B,2,0)</f>
        <v>raiders</v>
      </c>
      <c r="B32" s="6">
        <v>31</v>
      </c>
    </row>
    <row r="33" spans="1:2" x14ac:dyDescent="0.2">
      <c r="A33" s="6" t="str">
        <f>VLOOKUP('site info'!A33,'team-translation'!A:B,2,0)</f>
        <v>titans</v>
      </c>
      <c r="B33" s="6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tabSelected="1" workbookViewId="0">
      <selection activeCell="A2" sqref="A2"/>
    </sheetView>
  </sheetViews>
  <sheetFormatPr baseColWidth="10" defaultRowHeight="16" x14ac:dyDescent="0.2"/>
  <cols>
    <col min="2" max="2" width="17.6640625" customWidth="1"/>
  </cols>
  <sheetData>
    <row r="1" spans="1:2" x14ac:dyDescent="0.2">
      <c r="A1" t="s">
        <v>0</v>
      </c>
      <c r="B1" t="s">
        <v>1</v>
      </c>
    </row>
    <row r="2" spans="1:2" ht="18" x14ac:dyDescent="0.2">
      <c r="A2" s="10" t="s">
        <v>11</v>
      </c>
      <c r="B2">
        <v>1</v>
      </c>
    </row>
    <row r="3" spans="1:2" ht="18" x14ac:dyDescent="0.2">
      <c r="A3" s="10" t="s">
        <v>72</v>
      </c>
      <c r="B3">
        <v>2</v>
      </c>
    </row>
    <row r="4" spans="1:2" ht="18" x14ac:dyDescent="0.2">
      <c r="A4" s="10" t="s">
        <v>12</v>
      </c>
      <c r="B4">
        <v>3</v>
      </c>
    </row>
    <row r="5" spans="1:2" ht="18" x14ac:dyDescent="0.2">
      <c r="A5" s="10" t="s">
        <v>30</v>
      </c>
      <c r="B5">
        <v>4</v>
      </c>
    </row>
    <row r="6" spans="1:2" ht="18" x14ac:dyDescent="0.2">
      <c r="A6" s="10" t="s">
        <v>16</v>
      </c>
      <c r="B6">
        <v>5</v>
      </c>
    </row>
    <row r="7" spans="1:2" ht="18" x14ac:dyDescent="0.2">
      <c r="A7" s="10" t="s">
        <v>8</v>
      </c>
      <c r="B7">
        <v>6</v>
      </c>
    </row>
    <row r="8" spans="1:2" ht="18" x14ac:dyDescent="0.2">
      <c r="A8" s="10" t="s">
        <v>31</v>
      </c>
      <c r="B8">
        <v>7</v>
      </c>
    </row>
    <row r="9" spans="1:2" ht="18" x14ac:dyDescent="0.2">
      <c r="A9" s="10" t="s">
        <v>23</v>
      </c>
      <c r="B9">
        <v>8</v>
      </c>
    </row>
    <row r="10" spans="1:2" ht="18" x14ac:dyDescent="0.2">
      <c r="A10" s="10" t="s">
        <v>71</v>
      </c>
      <c r="B10">
        <v>9</v>
      </c>
    </row>
    <row r="11" spans="1:2" ht="18" x14ac:dyDescent="0.2">
      <c r="A11" s="10" t="s">
        <v>3</v>
      </c>
      <c r="B11">
        <v>10</v>
      </c>
    </row>
    <row r="12" spans="1:2" ht="18" x14ac:dyDescent="0.2">
      <c r="A12" s="10" t="s">
        <v>4</v>
      </c>
      <c r="B12">
        <v>11</v>
      </c>
    </row>
    <row r="13" spans="1:2" ht="18" x14ac:dyDescent="0.2">
      <c r="A13" s="10" t="s">
        <v>2</v>
      </c>
      <c r="B13">
        <v>12</v>
      </c>
    </row>
    <row r="14" spans="1:2" ht="18" x14ac:dyDescent="0.2">
      <c r="A14" s="10" t="s">
        <v>19</v>
      </c>
      <c r="B14">
        <v>13</v>
      </c>
    </row>
    <row r="15" spans="1:2" ht="18" x14ac:dyDescent="0.2">
      <c r="A15" s="10" t="s">
        <v>13</v>
      </c>
      <c r="B15">
        <v>14</v>
      </c>
    </row>
    <row r="16" spans="1:2" ht="18" x14ac:dyDescent="0.2">
      <c r="A16" s="10" t="s">
        <v>26</v>
      </c>
      <c r="B16">
        <v>15</v>
      </c>
    </row>
    <row r="17" spans="1:2" ht="18" x14ac:dyDescent="0.2">
      <c r="A17" s="10" t="s">
        <v>6</v>
      </c>
      <c r="B17">
        <v>16</v>
      </c>
    </row>
    <row r="18" spans="1:2" ht="18" x14ac:dyDescent="0.2">
      <c r="A18" s="10" t="s">
        <v>14</v>
      </c>
      <c r="B18">
        <v>17</v>
      </c>
    </row>
    <row r="19" spans="1:2" ht="18" x14ac:dyDescent="0.2">
      <c r="A19" s="10" t="s">
        <v>9</v>
      </c>
      <c r="B19">
        <v>18</v>
      </c>
    </row>
    <row r="20" spans="1:2" ht="18" x14ac:dyDescent="0.2">
      <c r="A20" s="10" t="s">
        <v>5</v>
      </c>
      <c r="B20">
        <v>19</v>
      </c>
    </row>
    <row r="21" spans="1:2" ht="18" x14ac:dyDescent="0.2">
      <c r="A21" s="10" t="s">
        <v>28</v>
      </c>
      <c r="B21">
        <v>20</v>
      </c>
    </row>
    <row r="22" spans="1:2" ht="18" x14ac:dyDescent="0.2">
      <c r="A22" s="10" t="s">
        <v>17</v>
      </c>
      <c r="B22">
        <v>21</v>
      </c>
    </row>
    <row r="23" spans="1:2" ht="18" x14ac:dyDescent="0.2">
      <c r="A23" s="10" t="s">
        <v>29</v>
      </c>
      <c r="B23">
        <v>21</v>
      </c>
    </row>
    <row r="24" spans="1:2" ht="18" x14ac:dyDescent="0.2">
      <c r="A24" s="10" t="s">
        <v>21</v>
      </c>
      <c r="B24">
        <v>23</v>
      </c>
    </row>
    <row r="25" spans="1:2" ht="18" x14ac:dyDescent="0.2">
      <c r="A25" s="10" t="s">
        <v>18</v>
      </c>
      <c r="B25">
        <v>24</v>
      </c>
    </row>
    <row r="26" spans="1:2" ht="18" x14ac:dyDescent="0.2">
      <c r="A26" s="10" t="s">
        <v>27</v>
      </c>
      <c r="B26">
        <v>25</v>
      </c>
    </row>
    <row r="27" spans="1:2" ht="18" x14ac:dyDescent="0.2">
      <c r="A27" s="10" t="s">
        <v>24</v>
      </c>
      <c r="B27">
        <v>26</v>
      </c>
    </row>
    <row r="28" spans="1:2" ht="18" x14ac:dyDescent="0.2">
      <c r="A28" s="10" t="s">
        <v>7</v>
      </c>
      <c r="B28">
        <v>27</v>
      </c>
    </row>
    <row r="29" spans="1:2" ht="18" x14ac:dyDescent="0.2">
      <c r="A29" s="10" t="s">
        <v>10</v>
      </c>
      <c r="B29">
        <v>28</v>
      </c>
    </row>
    <row r="30" spans="1:2" ht="18" x14ac:dyDescent="0.2">
      <c r="A30" s="10" t="s">
        <v>22</v>
      </c>
      <c r="B30">
        <v>29</v>
      </c>
    </row>
    <row r="31" spans="1:2" ht="18" x14ac:dyDescent="0.2">
      <c r="A31" s="10" t="s">
        <v>15</v>
      </c>
      <c r="B31">
        <v>30</v>
      </c>
    </row>
    <row r="32" spans="1:2" ht="18" x14ac:dyDescent="0.2">
      <c r="A32" s="10" t="s">
        <v>25</v>
      </c>
      <c r="B32">
        <v>31</v>
      </c>
    </row>
    <row r="33" spans="1:2" ht="18" x14ac:dyDescent="0.2">
      <c r="A33" s="10" t="s">
        <v>20</v>
      </c>
      <c r="B33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2</v>
      </c>
      <c r="B1" t="s">
        <v>32</v>
      </c>
    </row>
    <row r="2" spans="1:2" x14ac:dyDescent="0.2">
      <c r="A2" t="s">
        <v>3</v>
      </c>
      <c r="B2" t="s">
        <v>33</v>
      </c>
    </row>
    <row r="3" spans="1:2" x14ac:dyDescent="0.2">
      <c r="A3" t="s">
        <v>4</v>
      </c>
      <c r="B3" t="s">
        <v>34</v>
      </c>
    </row>
    <row r="4" spans="1:2" x14ac:dyDescent="0.2">
      <c r="A4" t="s">
        <v>5</v>
      </c>
      <c r="B4" t="s">
        <v>35</v>
      </c>
    </row>
    <row r="5" spans="1:2" x14ac:dyDescent="0.2">
      <c r="A5" t="s">
        <v>6</v>
      </c>
      <c r="B5" t="s">
        <v>36</v>
      </c>
    </row>
    <row r="6" spans="1:2" x14ac:dyDescent="0.2">
      <c r="A6" t="s">
        <v>7</v>
      </c>
      <c r="B6" t="s">
        <v>37</v>
      </c>
    </row>
    <row r="7" spans="1:2" x14ac:dyDescent="0.2">
      <c r="A7" t="s">
        <v>8</v>
      </c>
      <c r="B7" t="s">
        <v>38</v>
      </c>
    </row>
    <row r="8" spans="1:2" x14ac:dyDescent="0.2">
      <c r="A8" t="s">
        <v>9</v>
      </c>
      <c r="B8" t="s">
        <v>39</v>
      </c>
    </row>
    <row r="9" spans="1:2" x14ac:dyDescent="0.2">
      <c r="A9" t="s">
        <v>10</v>
      </c>
      <c r="B9" t="s">
        <v>40</v>
      </c>
    </row>
    <row r="10" spans="1:2" x14ac:dyDescent="0.2">
      <c r="A10" t="s">
        <v>11</v>
      </c>
      <c r="B10" t="s">
        <v>41</v>
      </c>
    </row>
    <row r="11" spans="1:2" x14ac:dyDescent="0.2">
      <c r="A11" t="s">
        <v>12</v>
      </c>
      <c r="B11" t="s">
        <v>42</v>
      </c>
    </row>
    <row r="12" spans="1:2" x14ac:dyDescent="0.2">
      <c r="A12" t="s">
        <v>13</v>
      </c>
      <c r="B12" t="s">
        <v>43</v>
      </c>
    </row>
    <row r="13" spans="1:2" x14ac:dyDescent="0.2">
      <c r="A13" t="s">
        <v>14</v>
      </c>
      <c r="B13" t="s">
        <v>44</v>
      </c>
    </row>
    <row r="14" spans="1:2" x14ac:dyDescent="0.2">
      <c r="A14" t="s">
        <v>15</v>
      </c>
      <c r="B14" t="s">
        <v>45</v>
      </c>
    </row>
    <row r="15" spans="1:2" x14ac:dyDescent="0.2">
      <c r="A15" t="s">
        <v>16</v>
      </c>
      <c r="B15" t="s">
        <v>46</v>
      </c>
    </row>
    <row r="16" spans="1:2" x14ac:dyDescent="0.2">
      <c r="A16" t="s">
        <v>17</v>
      </c>
      <c r="B16" t="s">
        <v>47</v>
      </c>
    </row>
    <row r="17" spans="1:2" x14ac:dyDescent="0.2">
      <c r="A17" t="s">
        <v>18</v>
      </c>
      <c r="B17" t="s">
        <v>48</v>
      </c>
    </row>
    <row r="18" spans="1:2" x14ac:dyDescent="0.2">
      <c r="A18" t="s">
        <v>71</v>
      </c>
      <c r="B18" t="s">
        <v>49</v>
      </c>
    </row>
    <row r="19" spans="1:2" x14ac:dyDescent="0.2">
      <c r="A19" t="s">
        <v>19</v>
      </c>
      <c r="B19" t="s">
        <v>50</v>
      </c>
    </row>
    <row r="20" spans="1:2" x14ac:dyDescent="0.2">
      <c r="A20" t="s">
        <v>20</v>
      </c>
      <c r="B20" t="s">
        <v>51</v>
      </c>
    </row>
    <row r="21" spans="1:2" x14ac:dyDescent="0.2">
      <c r="A21" t="s">
        <v>21</v>
      </c>
      <c r="B21" t="s">
        <v>52</v>
      </c>
    </row>
    <row r="22" spans="1:2" x14ac:dyDescent="0.2">
      <c r="A22" t="s">
        <v>22</v>
      </c>
      <c r="B22" t="s">
        <v>53</v>
      </c>
    </row>
    <row r="23" spans="1:2" x14ac:dyDescent="0.2">
      <c r="A23" t="s">
        <v>23</v>
      </c>
      <c r="B23" t="s">
        <v>54</v>
      </c>
    </row>
    <row r="24" spans="1:2" x14ac:dyDescent="0.2">
      <c r="A24" t="s">
        <v>24</v>
      </c>
      <c r="B24" t="s">
        <v>55</v>
      </c>
    </row>
    <row r="25" spans="1:2" x14ac:dyDescent="0.2">
      <c r="A25" t="s">
        <v>25</v>
      </c>
      <c r="B25" t="s">
        <v>56</v>
      </c>
    </row>
    <row r="26" spans="1:2" x14ac:dyDescent="0.2">
      <c r="A26" t="s">
        <v>26</v>
      </c>
      <c r="B26" t="s">
        <v>57</v>
      </c>
    </row>
    <row r="27" spans="1:2" x14ac:dyDescent="0.2">
      <c r="A27" t="s">
        <v>72</v>
      </c>
      <c r="B27" t="s">
        <v>58</v>
      </c>
    </row>
    <row r="28" spans="1:2" x14ac:dyDescent="0.2">
      <c r="A28" t="s">
        <v>27</v>
      </c>
      <c r="B28" t="s">
        <v>59</v>
      </c>
    </row>
    <row r="29" spans="1:2" x14ac:dyDescent="0.2">
      <c r="A29" t="s">
        <v>28</v>
      </c>
      <c r="B29" t="s">
        <v>60</v>
      </c>
    </row>
    <row r="30" spans="1:2" x14ac:dyDescent="0.2">
      <c r="A30" t="s">
        <v>29</v>
      </c>
      <c r="B30" t="s">
        <v>61</v>
      </c>
    </row>
    <row r="31" spans="1:2" x14ac:dyDescent="0.2">
      <c r="A31" t="s">
        <v>30</v>
      </c>
      <c r="B31" t="s">
        <v>62</v>
      </c>
    </row>
    <row r="32" spans="1:2" x14ac:dyDescent="0.2">
      <c r="A32" t="s">
        <v>31</v>
      </c>
      <c r="B32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6C06-A8F8-B943-BD3C-42DD7C342140}">
  <dimension ref="A1:I32"/>
  <sheetViews>
    <sheetView workbookViewId="0">
      <selection activeCell="A32" sqref="A1:A32"/>
    </sheetView>
  </sheetViews>
  <sheetFormatPr baseColWidth="10" defaultRowHeight="16" x14ac:dyDescent="0.2"/>
  <cols>
    <col min="1" max="8" width="10.83203125" style="9"/>
    <col min="9" max="9" width="61.33203125" style="9" customWidth="1"/>
    <col min="10" max="16384" width="10.83203125" style="9"/>
  </cols>
  <sheetData>
    <row r="1" spans="1:9" ht="24" x14ac:dyDescent="0.3">
      <c r="A1" s="10" t="s">
        <v>6</v>
      </c>
      <c r="I1" s="11" t="s">
        <v>73</v>
      </c>
    </row>
    <row r="2" spans="1:9" ht="18" x14ac:dyDescent="0.2">
      <c r="A2" s="10" t="s">
        <v>12</v>
      </c>
    </row>
    <row r="3" spans="1:9" ht="18" x14ac:dyDescent="0.2">
      <c r="A3" s="10" t="s">
        <v>3</v>
      </c>
    </row>
    <row r="4" spans="1:9" ht="18" x14ac:dyDescent="0.2">
      <c r="A4" s="10" t="s">
        <v>16</v>
      </c>
    </row>
    <row r="5" spans="1:9" ht="18" x14ac:dyDescent="0.2">
      <c r="A5" s="10" t="s">
        <v>2</v>
      </c>
    </row>
    <row r="6" spans="1:9" ht="18" x14ac:dyDescent="0.2">
      <c r="A6" s="10" t="s">
        <v>8</v>
      </c>
    </row>
    <row r="7" spans="1:9" ht="18" x14ac:dyDescent="0.2">
      <c r="A7" s="10" t="s">
        <v>21</v>
      </c>
    </row>
    <row r="8" spans="1:9" ht="18" x14ac:dyDescent="0.2">
      <c r="A8" s="10" t="s">
        <v>18</v>
      </c>
    </row>
    <row r="9" spans="1:9" ht="18" x14ac:dyDescent="0.2">
      <c r="A9" s="10" t="s">
        <v>26</v>
      </c>
    </row>
    <row r="10" spans="1:9" ht="18" x14ac:dyDescent="0.2">
      <c r="A10" s="10" t="s">
        <v>4</v>
      </c>
    </row>
    <row r="11" spans="1:9" ht="18" x14ac:dyDescent="0.2">
      <c r="A11" s="10" t="s">
        <v>14</v>
      </c>
    </row>
    <row r="12" spans="1:9" ht="18" x14ac:dyDescent="0.2">
      <c r="A12" s="10" t="s">
        <v>23</v>
      </c>
    </row>
    <row r="13" spans="1:9" ht="18" x14ac:dyDescent="0.2">
      <c r="A13" s="10" t="s">
        <v>19</v>
      </c>
    </row>
    <row r="14" spans="1:9" ht="18" x14ac:dyDescent="0.2">
      <c r="A14" s="10" t="s">
        <v>31</v>
      </c>
    </row>
    <row r="15" spans="1:9" ht="18" x14ac:dyDescent="0.2">
      <c r="A15" s="10" t="s">
        <v>72</v>
      </c>
    </row>
    <row r="16" spans="1:9" ht="18" x14ac:dyDescent="0.2">
      <c r="A16" s="10" t="s">
        <v>7</v>
      </c>
    </row>
    <row r="17" spans="1:1" ht="18" x14ac:dyDescent="0.2">
      <c r="A17" s="10" t="s">
        <v>29</v>
      </c>
    </row>
    <row r="18" spans="1:1" ht="18" x14ac:dyDescent="0.2">
      <c r="A18" s="10" t="s">
        <v>11</v>
      </c>
    </row>
    <row r="19" spans="1:1" ht="18" x14ac:dyDescent="0.2">
      <c r="A19" s="10" t="s">
        <v>17</v>
      </c>
    </row>
    <row r="20" spans="1:1" ht="18" x14ac:dyDescent="0.2">
      <c r="A20" s="10" t="s">
        <v>9</v>
      </c>
    </row>
    <row r="21" spans="1:1" ht="18" x14ac:dyDescent="0.2">
      <c r="A21" s="10" t="s">
        <v>30</v>
      </c>
    </row>
    <row r="22" spans="1:1" ht="18" x14ac:dyDescent="0.2">
      <c r="A22" s="10" t="s">
        <v>22</v>
      </c>
    </row>
    <row r="23" spans="1:1" ht="18" x14ac:dyDescent="0.2">
      <c r="A23" s="10" t="s">
        <v>5</v>
      </c>
    </row>
    <row r="24" spans="1:1" ht="18" x14ac:dyDescent="0.2">
      <c r="A24" s="10" t="s">
        <v>10</v>
      </c>
    </row>
    <row r="25" spans="1:1" ht="18" x14ac:dyDescent="0.2">
      <c r="A25" s="10" t="s">
        <v>28</v>
      </c>
    </row>
    <row r="26" spans="1:1" ht="18" x14ac:dyDescent="0.2">
      <c r="A26" s="10" t="s">
        <v>71</v>
      </c>
    </row>
    <row r="27" spans="1:1" ht="18" x14ac:dyDescent="0.2">
      <c r="A27" s="10" t="s">
        <v>25</v>
      </c>
    </row>
    <row r="28" spans="1:1" ht="18" x14ac:dyDescent="0.2">
      <c r="A28" s="10" t="s">
        <v>24</v>
      </c>
    </row>
    <row r="29" spans="1:1" ht="18" x14ac:dyDescent="0.2">
      <c r="A29" s="10" t="s">
        <v>20</v>
      </c>
    </row>
    <row r="30" spans="1:1" ht="18" x14ac:dyDescent="0.2">
      <c r="A30" s="10" t="s">
        <v>13</v>
      </c>
    </row>
    <row r="31" spans="1:1" ht="18" x14ac:dyDescent="0.2">
      <c r="A31" s="10" t="s">
        <v>27</v>
      </c>
    </row>
    <row r="32" spans="1:1" ht="18" x14ac:dyDescent="0.2">
      <c r="A32" s="10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920F-EAA9-844B-BE9E-F0F40B062263}">
  <sheetPr>
    <tabColor rgb="FFFFFF00"/>
  </sheetPr>
  <dimension ref="A1:C17"/>
  <sheetViews>
    <sheetView workbookViewId="0">
      <selection activeCell="A16" sqref="A16"/>
    </sheetView>
  </sheetViews>
  <sheetFormatPr baseColWidth="10" defaultRowHeight="16" x14ac:dyDescent="0.2"/>
  <cols>
    <col min="1" max="3" width="10.83203125" style="3"/>
  </cols>
  <sheetData>
    <row r="1" spans="1:3" x14ac:dyDescent="0.2">
      <c r="A1" s="3" t="s">
        <v>67</v>
      </c>
      <c r="B1" s="3" t="s">
        <v>70</v>
      </c>
      <c r="C1" s="3" t="s">
        <v>68</v>
      </c>
    </row>
    <row r="2" spans="1:3" x14ac:dyDescent="0.2">
      <c r="A2" s="8" t="s">
        <v>34</v>
      </c>
      <c r="B2" s="8">
        <v>13</v>
      </c>
      <c r="C2" s="8">
        <v>16</v>
      </c>
    </row>
    <row r="3" spans="1:3" ht="17" customHeight="1" x14ac:dyDescent="0.2">
      <c r="A3" s="8" t="s">
        <v>33</v>
      </c>
      <c r="B3" s="8">
        <v>13</v>
      </c>
      <c r="C3" s="8">
        <v>15</v>
      </c>
    </row>
    <row r="4" spans="1:3" x14ac:dyDescent="0.2">
      <c r="A4" s="3" t="s">
        <v>32</v>
      </c>
      <c r="B4" s="3">
        <v>10.5</v>
      </c>
      <c r="C4" s="8">
        <v>14</v>
      </c>
    </row>
    <row r="5" spans="1:3" x14ac:dyDescent="0.2">
      <c r="A5" s="7" t="s">
        <v>45</v>
      </c>
      <c r="B5" s="7">
        <v>7.5</v>
      </c>
      <c r="C5" s="8">
        <v>13</v>
      </c>
    </row>
    <row r="6" spans="1:3" x14ac:dyDescent="0.2">
      <c r="A6" s="3" t="s">
        <v>38</v>
      </c>
      <c r="B6" s="3">
        <v>7</v>
      </c>
      <c r="C6" s="8">
        <v>12</v>
      </c>
    </row>
    <row r="7" spans="1:3" x14ac:dyDescent="0.2">
      <c r="A7" s="3" t="s">
        <v>49</v>
      </c>
      <c r="B7" s="3">
        <v>6.5</v>
      </c>
      <c r="C7" s="8">
        <v>11</v>
      </c>
    </row>
    <row r="8" spans="1:3" x14ac:dyDescent="0.2">
      <c r="A8" s="8" t="s">
        <v>35</v>
      </c>
      <c r="B8" s="8">
        <v>5.5</v>
      </c>
      <c r="C8" s="8">
        <v>10</v>
      </c>
    </row>
    <row r="9" spans="1:3" x14ac:dyDescent="0.2">
      <c r="A9" s="8" t="s">
        <v>58</v>
      </c>
      <c r="B9" s="8">
        <v>5.5</v>
      </c>
      <c r="C9" s="8">
        <v>9</v>
      </c>
    </row>
    <row r="10" spans="1:3" x14ac:dyDescent="0.2">
      <c r="A10" s="3" t="s">
        <v>63</v>
      </c>
      <c r="B10" s="3">
        <v>5</v>
      </c>
      <c r="C10" s="8">
        <v>8</v>
      </c>
    </row>
    <row r="11" spans="1:3" x14ac:dyDescent="0.2">
      <c r="A11" s="8" t="s">
        <v>41</v>
      </c>
      <c r="B11" s="8">
        <v>3.5</v>
      </c>
      <c r="C11" s="8">
        <v>7</v>
      </c>
    </row>
    <row r="12" spans="1:3" x14ac:dyDescent="0.2">
      <c r="A12" s="8" t="s">
        <v>62</v>
      </c>
      <c r="B12" s="8">
        <v>3.5</v>
      </c>
      <c r="C12" s="8">
        <v>6</v>
      </c>
    </row>
    <row r="13" spans="1:3" x14ac:dyDescent="0.2">
      <c r="A13" s="8" t="s">
        <v>54</v>
      </c>
      <c r="B13" s="8">
        <v>3.5</v>
      </c>
      <c r="C13" s="8">
        <v>5</v>
      </c>
    </row>
    <row r="14" spans="1:3" x14ac:dyDescent="0.2">
      <c r="A14" s="8" t="s">
        <v>36</v>
      </c>
      <c r="B14" s="8">
        <v>3</v>
      </c>
      <c r="C14" s="8">
        <v>4</v>
      </c>
    </row>
    <row r="15" spans="1:3" x14ac:dyDescent="0.2">
      <c r="A15" s="8" t="s">
        <v>60</v>
      </c>
      <c r="B15" s="8">
        <v>3</v>
      </c>
      <c r="C15" s="8">
        <v>3</v>
      </c>
    </row>
    <row r="16" spans="1:3" x14ac:dyDescent="0.2">
      <c r="A16" s="3" t="s">
        <v>44</v>
      </c>
      <c r="B16" s="3">
        <v>2.5</v>
      </c>
      <c r="C16" s="8">
        <v>2</v>
      </c>
    </row>
    <row r="17" spans="1:3" x14ac:dyDescent="0.2">
      <c r="A17" s="3" t="s">
        <v>52</v>
      </c>
      <c r="B17" s="3">
        <v>2</v>
      </c>
      <c r="C17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DVOA_Data</vt:lpstr>
      <vt:lpstr>site info</vt:lpstr>
      <vt:lpstr>team-translation</vt:lpstr>
      <vt:lpstr>website info-step1</vt:lpstr>
      <vt:lpstr>audit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Collins</dc:creator>
  <cp:lastModifiedBy>Joe C</cp:lastModifiedBy>
  <dcterms:created xsi:type="dcterms:W3CDTF">2022-12-13T23:05:21Z</dcterms:created>
  <dcterms:modified xsi:type="dcterms:W3CDTF">2025-12-11T17:51:30Z</dcterms:modified>
</cp:coreProperties>
</file>